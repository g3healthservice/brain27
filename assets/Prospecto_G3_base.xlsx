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gersongomes/Desktop/PROJETOS CARRETAS ETP TR/"/>
    </mc:Choice>
  </mc:AlternateContent>
  <xr:revisionPtr revIDLastSave="0" documentId="8_{41233F25-A82B-F94A-973D-AAD0C5EC0F29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Painel" sheetId="1" r:id="rId1"/>
    <sheet name="Catalogo" sheetId="2" r:id="rId2"/>
    <sheet name="Veiculos" sheetId="3" r:id="rId3"/>
    <sheet name="Premissas" sheetId="4" r:id="rId4"/>
    <sheet name="Ancoras_Mercado" sheetId="5" r:id="rId5"/>
    <sheet name="Notas &amp; Fontes" sheetId="6" r:id="rId6"/>
  </sheets>
  <definedNames>
    <definedName name="_xlnm._FilterDatabase" localSheetId="1" hidden="1">Catalogo!$B$4:$O$29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9" i="2" l="1"/>
  <c r="E29" i="2"/>
  <c r="G29" i="2" s="1"/>
  <c r="H29" i="2" s="1"/>
  <c r="K29" i="2" s="1"/>
  <c r="L29" i="2" s="1"/>
  <c r="M29" i="2" s="1"/>
  <c r="I28" i="2"/>
  <c r="E28" i="2"/>
  <c r="G28" i="2" s="1"/>
  <c r="H28" i="2" s="1"/>
  <c r="K28" i="2" s="1"/>
  <c r="L28" i="2" s="1"/>
  <c r="M28" i="2" s="1"/>
  <c r="I27" i="2"/>
  <c r="E27" i="2"/>
  <c r="G27" i="2" s="1"/>
  <c r="H27" i="2" s="1"/>
  <c r="K27" i="2" s="1"/>
  <c r="L27" i="2" s="1"/>
  <c r="M27" i="2" s="1"/>
  <c r="I26" i="2"/>
  <c r="E26" i="2"/>
  <c r="G26" i="2" s="1"/>
  <c r="H26" i="2" s="1"/>
  <c r="K26" i="2" s="1"/>
  <c r="L26" i="2" s="1"/>
  <c r="M26" i="2" s="1"/>
  <c r="I25" i="2"/>
  <c r="E25" i="2"/>
  <c r="G25" i="2" s="1"/>
  <c r="H25" i="2" s="1"/>
  <c r="I24" i="2"/>
  <c r="E24" i="2"/>
  <c r="G24" i="2" s="1"/>
  <c r="H24" i="2" s="1"/>
  <c r="K24" i="2" s="1"/>
  <c r="L24" i="2" s="1"/>
  <c r="M24" i="2" s="1"/>
  <c r="I23" i="2"/>
  <c r="E23" i="2"/>
  <c r="G23" i="2" s="1"/>
  <c r="H23" i="2" s="1"/>
  <c r="K23" i="2" s="1"/>
  <c r="L23" i="2" s="1"/>
  <c r="M23" i="2" s="1"/>
  <c r="I22" i="2"/>
  <c r="E22" i="2"/>
  <c r="G22" i="2" s="1"/>
  <c r="H22" i="2" s="1"/>
  <c r="K22" i="2" s="1"/>
  <c r="L22" i="2" s="1"/>
  <c r="M22" i="2" s="1"/>
  <c r="I21" i="2"/>
  <c r="E21" i="2"/>
  <c r="G21" i="2" s="1"/>
  <c r="H21" i="2" s="1"/>
  <c r="K21" i="2" s="1"/>
  <c r="L21" i="2" s="1"/>
  <c r="M21" i="2" s="1"/>
  <c r="I20" i="2"/>
  <c r="E20" i="2"/>
  <c r="G20" i="2" s="1"/>
  <c r="H20" i="2" s="1"/>
  <c r="K20" i="2" s="1"/>
  <c r="L20" i="2" s="1"/>
  <c r="M20" i="2" s="1"/>
  <c r="I19" i="2"/>
  <c r="E19" i="2"/>
  <c r="G19" i="2" s="1"/>
  <c r="H19" i="2" s="1"/>
  <c r="K19" i="2" s="1"/>
  <c r="L19" i="2" s="1"/>
  <c r="M19" i="2" s="1"/>
  <c r="I18" i="2"/>
  <c r="G18" i="2"/>
  <c r="H18" i="2" s="1"/>
  <c r="K18" i="2" s="1"/>
  <c r="L18" i="2" s="1"/>
  <c r="M18" i="2" s="1"/>
  <c r="E18" i="2"/>
  <c r="I17" i="2"/>
  <c r="E17" i="2"/>
  <c r="G17" i="2" s="1"/>
  <c r="H17" i="2" s="1"/>
  <c r="I16" i="2"/>
  <c r="E16" i="2"/>
  <c r="G16" i="2" s="1"/>
  <c r="H16" i="2" s="1"/>
  <c r="I15" i="2"/>
  <c r="E15" i="2"/>
  <c r="G15" i="2" s="1"/>
  <c r="H15" i="2" s="1"/>
  <c r="I14" i="2"/>
  <c r="E14" i="2"/>
  <c r="G14" i="2" s="1"/>
  <c r="H14" i="2" s="1"/>
  <c r="I13" i="2"/>
  <c r="E13" i="2"/>
  <c r="G13" i="2" s="1"/>
  <c r="H13" i="2" s="1"/>
  <c r="I12" i="2"/>
  <c r="E12" i="2"/>
  <c r="G12" i="2" s="1"/>
  <c r="H12" i="2" s="1"/>
  <c r="I11" i="2"/>
  <c r="E11" i="2"/>
  <c r="G11" i="2" s="1"/>
  <c r="H11" i="2" s="1"/>
  <c r="I10" i="2"/>
  <c r="E10" i="2"/>
  <c r="G10" i="2" s="1"/>
  <c r="H10" i="2" s="1"/>
  <c r="I9" i="2"/>
  <c r="E9" i="2"/>
  <c r="G9" i="2" s="1"/>
  <c r="H9" i="2" s="1"/>
  <c r="I8" i="2"/>
  <c r="E8" i="2"/>
  <c r="G8" i="2" s="1"/>
  <c r="H8" i="2" s="1"/>
  <c r="I7" i="2"/>
  <c r="E7" i="2"/>
  <c r="G7" i="2" s="1"/>
  <c r="H7" i="2" s="1"/>
  <c r="I6" i="2"/>
  <c r="E6" i="2"/>
  <c r="G6" i="2" s="1"/>
  <c r="H6" i="2" s="1"/>
  <c r="I5" i="2"/>
  <c r="E5" i="2"/>
  <c r="G5" i="2" s="1"/>
  <c r="H5" i="2" s="1"/>
  <c r="K7" i="2" l="1"/>
  <c r="L7" i="2" s="1"/>
  <c r="M7" i="2" s="1"/>
  <c r="K9" i="2"/>
  <c r="L9" i="2" s="1"/>
  <c r="M9" i="2" s="1"/>
  <c r="K11" i="2"/>
  <c r="L11" i="2" s="1"/>
  <c r="M11" i="2" s="1"/>
  <c r="K15" i="2"/>
  <c r="L15" i="2" s="1"/>
  <c r="M15" i="2" s="1"/>
  <c r="K17" i="2"/>
  <c r="L17" i="2" s="1"/>
  <c r="M17" i="2" s="1"/>
  <c r="K10" i="2"/>
  <c r="L10" i="2" s="1"/>
  <c r="M10" i="2" s="1"/>
  <c r="K12" i="2"/>
  <c r="L12" i="2" s="1"/>
  <c r="M12" i="2" s="1"/>
  <c r="K14" i="2"/>
  <c r="L14" i="2" s="1"/>
  <c r="M14" i="2" s="1"/>
  <c r="K16" i="2"/>
  <c r="L16" i="2" s="1"/>
  <c r="M16" i="2" s="1"/>
  <c r="K13" i="2"/>
  <c r="L13" i="2" s="1"/>
  <c r="M13" i="2" s="1"/>
  <c r="K25" i="2"/>
  <c r="L25" i="2" s="1"/>
  <c r="M25" i="2" s="1"/>
  <c r="C13" i="1"/>
  <c r="C6" i="1"/>
  <c r="C7" i="1"/>
  <c r="K5" i="2"/>
  <c r="L5" i="2" s="1"/>
  <c r="C15" i="1"/>
  <c r="K8" i="2"/>
  <c r="L8" i="2" s="1"/>
  <c r="C14" i="1"/>
  <c r="K6" i="2"/>
  <c r="L6" i="2" s="1"/>
  <c r="D14" i="1" l="1"/>
  <c r="M6" i="2"/>
  <c r="M5" i="2"/>
  <c r="C9" i="1"/>
  <c r="D13" i="1"/>
  <c r="C8" i="1"/>
  <c r="M8" i="2"/>
  <c r="D15" i="1"/>
</calcChain>
</file>

<file path=xl/sharedStrings.xml><?xml version="1.0" encoding="utf-8"?>
<sst xmlns="http://schemas.openxmlformats.org/spreadsheetml/2006/main" count="214" uniqueCount="158">
  <si>
    <t>PAINEL — FAIXAS DE REFERÊNCIA POR FORMATO</t>
  </si>
  <si>
    <t>Sínteses calculadas a partir da aba Catalogo. Todos os valores são R$/mês por unidade.</t>
  </si>
  <si>
    <t>Faixa geral do catálogo (mín. – máx.)</t>
  </si>
  <si>
    <t>Locação SECA — mínimo</t>
  </si>
  <si>
    <t>Locação SECA — máximo</t>
  </si>
  <si>
    <t>TURNKEY — mínimo</t>
  </si>
  <si>
    <t>TURNKEY — máximo</t>
  </si>
  <si>
    <t>Média por plataforma</t>
  </si>
  <si>
    <t>Plataforma</t>
  </si>
  <si>
    <t>SECA média (R$/mês)</t>
  </si>
  <si>
    <t>TURNKEY média (R$/mês)</t>
  </si>
  <si>
    <t>Van</t>
  </si>
  <si>
    <t>Caminhão</t>
  </si>
  <si>
    <t>Carreta</t>
  </si>
  <si>
    <t>Como usar este prospecto:</t>
  </si>
  <si>
    <t>1) Ajuste as 5 premissas (aba Premissas) e os valores-base de veículo (aba Veiculos) ao seu cenário.</t>
  </si>
  <si>
    <t>2) Para cada serviço, edite o Kit de equipamentos e o custo de Equipe+Insumos (colunas amarelas).</t>
  </si>
  <si>
    <t>3) Leia SECA (locação do ativo) e TURNKEY (operação completa) já calculados, com versão Amazônia Legal.</t>
  </si>
  <si>
    <t>4) Para consulta pública no portal brain27, a aba Catalogo pode ser exportada em CSV/JSON — posso gerar.</t>
  </si>
  <si>
    <t>5) Estes números são referência de planejamento; confirme com 3 cotações de mercado antes de propor preço firme.</t>
  </si>
  <si>
    <t>PROSPECTO G3 — CATÁLOGO DE SERVIÇOS MÓVEIS · LOCAÇÃO SECA E TURNKEY</t>
  </si>
  <si>
    <t>Edite apenas as colunas amarelas (Kit de equipamentos e Equipe/Insumos). O restante é calculado. Valores = estimativas de referência p/ consulta de mercado.</t>
  </si>
  <si>
    <t>Categoria</t>
  </si>
  <si>
    <t>Serviço</t>
  </si>
  <si>
    <t>Veículo base (R$)</t>
  </si>
  <si>
    <t>Kit equip. (R$)</t>
  </si>
  <si>
    <t>Ativo total (R$)</t>
  </si>
  <si>
    <t>Locação SECA (R$/mês)</t>
  </si>
  <si>
    <t>Operação (R$/mês)</t>
  </si>
  <si>
    <t>Equipe+Insumos (R$/mês)</t>
  </si>
  <si>
    <t>Custo direto (R$/mês)</t>
  </si>
  <si>
    <t>TURNKEY (R$/mês)</t>
  </si>
  <si>
    <t>TURNKEY Amaz. Legal (R$/mês)</t>
  </si>
  <si>
    <t>Atend./mês</t>
  </si>
  <si>
    <t>Observação</t>
  </si>
  <si>
    <t>Saúde</t>
  </si>
  <si>
    <t>Odontologia / Saúde Bucal (1 cadeira)</t>
  </si>
  <si>
    <t>1 cadeira; até ~600 atend./mês (base Eco X/Master)</t>
  </si>
  <si>
    <t>Odontologia (2 cadeiras)</t>
  </si>
  <si>
    <t>2 consultórios odonto</t>
  </si>
  <si>
    <t>Oftalmologia (consultas + exames)</t>
  </si>
  <si>
    <t>Autorefr., lâmpada de fenda, retinógrafo, OCT</t>
  </si>
  <si>
    <t>Oftalmologia + Cirurgia de Catarata</t>
  </si>
  <si>
    <t>Centro cirúrgico faco; ref. AgSUS Tip.3</t>
  </si>
  <si>
    <t>Saúde da Mulher (mamografia + US + gineco)</t>
  </si>
  <si>
    <t>Ref. AgSUS Tip.2 (fixo R$ 439k)</t>
  </si>
  <si>
    <t>Saúde do Homem (urologia)</t>
  </si>
  <si>
    <t>US, fluxometria, PSA, consultório</t>
  </si>
  <si>
    <t>Exame de Imagem — Tomografia (TC)</t>
  </si>
  <si>
    <t>Ref. AgSUS Tip.1 (fixo R$ 512k)</t>
  </si>
  <si>
    <t>Exame de Imagem — Ressonância (RM)</t>
  </si>
  <si>
    <t>RM móvel high-end — estimativa, validar</t>
  </si>
  <si>
    <t>Radiologia Geral / Raio-X</t>
  </si>
  <si>
    <t>RX digital + laudos</t>
  </si>
  <si>
    <t>Ultrassonografia Geral</t>
  </si>
  <si>
    <t>US multipropósito + laudos</t>
  </si>
  <si>
    <t>Análises Clínicas / Coleta Laboratorial</t>
  </si>
  <si>
    <t>Coleta + cadeia fria; análise externa</t>
  </si>
  <si>
    <t>Medicina Ocupacional / Saúde do Trabalhador</t>
  </si>
  <si>
    <t>Audiometria, espirometria, ECG, acuidade, RX</t>
  </si>
  <si>
    <t>Cardiologia (ECG, Eco, Holter, MAPA)</t>
  </si>
  <si>
    <t>Diagnóstico cardiológico + laudos</t>
  </si>
  <si>
    <t>Vacinação / Imunização</t>
  </si>
  <si>
    <t>Cadeia fria; campanhas</t>
  </si>
  <si>
    <t>Atenção Primária / Clínica Geral</t>
  </si>
  <si>
    <t>Consultórios + triagem</t>
  </si>
  <si>
    <t>Hemodiálise (Nefrologia)</t>
  </si>
  <si>
    <t>Máquinas + osmose — estimativa, validar</t>
  </si>
  <si>
    <t>Endoscopia / Colonoscopia</t>
  </si>
  <si>
    <t>Torre de endoscopia + reprocessamento</t>
  </si>
  <si>
    <t>Centro Cirúrgico Móvel (peq. cirurgias)</t>
  </si>
  <si>
    <t>Sala cirúrgica, CME, recuperação</t>
  </si>
  <si>
    <t>Doação de Sangue / Hemóvel</t>
  </si>
  <si>
    <t>Coleta de sangue itinerante</t>
  </si>
  <si>
    <t>Fisioterapia / Reabilitação</t>
  </si>
  <si>
    <t>Cinesioterapia, eletroterapia</t>
  </si>
  <si>
    <t>Educação/Capacitação</t>
  </si>
  <si>
    <t>Qualificação Prof. / Sala de Aula Móvel</t>
  </si>
  <si>
    <t>Bancadas, projetor, mobiliário</t>
  </si>
  <si>
    <t>Laboratório de Informática / Inclusão Digital</t>
  </si>
  <si>
    <t>PCs, rede, internet via satélite</t>
  </si>
  <si>
    <t>Lab. Profissionalizante (solda/elétrica/mecânica)</t>
  </si>
  <si>
    <t>Bancadas técnicas, EPIs</t>
  </si>
  <si>
    <t>Cidadania/Serviços</t>
  </si>
  <si>
    <t>Cidadania / Documentação / Serviços Públicos</t>
  </si>
  <si>
    <t>Atendimento, emissão de documentos</t>
  </si>
  <si>
    <t>Biblioteca / Cultura Móvel</t>
  </si>
  <si>
    <t>Acervo, leitura, oficinas</t>
  </si>
  <si>
    <t>Legenda:  AZUL/amarelo = você edita (kit e equipe/insumos).  VERDE = puxado da aba Veiculos.  PRETO = calculado.  'SECA' = só o ativo (carreta/caminhão/van + equipamentos), sem operação.  'TURNKEY' = operação completa com equipe, insumos, tributos e margem.</t>
  </si>
  <si>
    <t>PLATAFORMAS DE VEÍCULO (base = veículo + adaptação + gerador + climatização)</t>
  </si>
  <si>
    <t>Plataforma (chave)</t>
  </si>
  <si>
    <t>Operação mensal (R$)</t>
  </si>
  <si>
    <t>Furgão adaptado (Master/Sprinter/Ducato). Serviços leves e coleta.</t>
  </si>
  <si>
    <t>Baú/VUC/toco, alguns expansíveis. Imagem média, odonto duplo, ocupacional.</t>
  </si>
  <si>
    <t>Semirreboque 15 m expansível. Imagem pesada, cirúrgico. Cavalo p/ translado à parte.</t>
  </si>
  <si>
    <t>Ônibus</t>
  </si>
  <si>
    <t>Ônibus adaptado (variante). Odonto múltiplo, capacitação, hemóvel.</t>
  </si>
  <si>
    <t>'Operação mensal' cobre motorista, translado (combustível/pedágio/diárias), manutenção do veículo, seguro e mão de obra de apoio (recepção/limpeza) — NÃO inclui equipe assistencial (essa vai por serviço na aba Catalogo).</t>
  </si>
  <si>
    <t>PREMISSAS DE PRECIFICAÇÃO (edite as células amarelas)</t>
  </si>
  <si>
    <t>Taxa de locação mensal (% do valor do ativo)</t>
  </si>
  <si>
    <t>Padrão leasing de equip. médico em contrato estável (2,5%–3,5%). Contrato curto/cancelável eleva.</t>
  </si>
  <si>
    <t>Overhead administrativo (% do custo direto)</t>
  </si>
  <si>
    <t>Estrutura, gestão, seguros administrativos, rateio de sede.</t>
  </si>
  <si>
    <t>Tributos sobre o preço (%)</t>
  </si>
  <si>
    <t>Lucro Presumido serviços de saúde (ISS+PIS+COFINS+IR+CSLL aprox.). Confirmar enquadramento.</t>
  </si>
  <si>
    <t>Margem / lucro sobre o preço (%)</t>
  </si>
  <si>
    <t>Margem líquida-alvo do operador. Ajuste conforme risco e prazo do contrato.</t>
  </si>
  <si>
    <t>Adicional Amazônia Legal (%)</t>
  </si>
  <si>
    <t>Uplift de custo logístico/operacional em Amazônia Legal (ref. contratos AgSUS).</t>
  </si>
  <si>
    <t>Fórmula do turnkey por serviço:  Turnkey = (Seca + Operação + Equipe/Insumos) × (1+Overhead) ÷ (1 − Tributos − Margem).  Seca = Ativo × Taxa de locação.  Ativo = Veículo base (aba Veiculos) + Kit de equipamentos (aba Catalogo).</t>
  </si>
  <si>
    <t>ÂNCORAS DE MERCADO (referências públicas para calibrar o modelo)</t>
  </si>
  <si>
    <t>Referência</t>
  </si>
  <si>
    <t>Valor (R$/unidade/mês)</t>
  </si>
  <si>
    <t>Escopo</t>
  </si>
  <si>
    <t>Fonte / observação</t>
  </si>
  <si>
    <t>AgSUS Ed. 28/2025 — Tip.1 Imagem (Tomografia)</t>
  </si>
  <si>
    <t>Turnkey (fixo 512.466,50 + variável 209.032,32)</t>
  </si>
  <si>
    <t>Edital AgSUS 28/2025, item 5.3</t>
  </si>
  <si>
    <t>AgSUS Ed. 29/2025 — Tip.2 Saúde da Mulher</t>
  </si>
  <si>
    <t>Turnkey (fixo 439.204,38 + variável 210.864,00)</t>
  </si>
  <si>
    <t>Resumo dos Editais AgSUS</t>
  </si>
  <si>
    <t>AgSUS Ed. 30/2025 — Tip.3 Oftalmo/Catarata</t>
  </si>
  <si>
    <t>Turnkey (só variável; média p/ unidade)</t>
  </si>
  <si>
    <t>AgSUS — parcela FIXA Tip.1 (contém locação)</t>
  </si>
  <si>
    <t>Fixo mensal (inclui aluguel da UMS)</t>
  </si>
  <si>
    <t>Edital 28/2025, item 5.2</t>
  </si>
  <si>
    <t>AgSUS — parcela FIXA Tip.2 (contém locação)</t>
  </si>
  <si>
    <t>SES-SC 'Carretas da Saúde da Mulher' (2025)</t>
  </si>
  <si>
    <t>Turnkey c/ equipe (mamografia+US)</t>
  </si>
  <si>
    <t>Gov. SC, out/2025 (~R$ 1 mi/mês p/ 2 unidades)</t>
  </si>
  <si>
    <t>Aparecida de Goiânia PE 067/2026 (UMS mutirão)</t>
  </si>
  <si>
    <t>Turnkey por mutirão (rateio mensal aprox.)</t>
  </si>
  <si>
    <t>Global R$ 1.020.446,40 ÷ 12; multi-especialidade</t>
  </si>
  <si>
    <t>Leitura: a tarifa turnkey da AgSUS é generosa (programa federal de urgência, com margem folgada). Um turnkey 'praticável' de mercado tende a ficar ABAIXO da tarifa federal — por isso o motor deste prospecto gera valores conservadores frente às âncoras, o que é adequado para consulta de mercado e negociação.</t>
  </si>
  <si>
    <t>NOTAS, PREMISSAS E ROADMAP DE INTEGRAÇÃO</t>
  </si>
  <si>
    <t>NATUREZA DOS VALORES</t>
  </si>
  <si>
    <t>Todos os valores são ESTIMATIVAS de referência para planejamento e consulta de mercado — não são cotações firmes.</t>
  </si>
  <si>
    <t>Kit de equipamentos e Equipe+Insumos são as duas variáveis que mais mudam o resultado: ajuste por serviço.</t>
  </si>
  <si>
    <t>Itens sinalizados 'validar' (Ressonância, Hemodiálise) têm maior incerteza — priorize cotação real.</t>
  </si>
  <si>
    <t>MOTOR DE CÁLCULO</t>
  </si>
  <si>
    <t>Ativo = Veículo base (aba Veiculos) + Kit de equipamentos (aba Catalogo).</t>
  </si>
  <si>
    <t>Locação SECA = Ativo × Taxa de locação mensal (aba Premissas).</t>
  </si>
  <si>
    <t>Turnkey = (Seca + Operação + Equipe/Insumos) × (1+Overhead) ÷ (1 − Tributos − Margem).</t>
  </si>
  <si>
    <t>Turnkey Amazônia Legal = Turnkey × (1 + Adicional AL).</t>
  </si>
  <si>
    <t>FORMATOS DE VEÍCULO</t>
  </si>
  <si>
    <t>Van/Furgão: serviços leves, coleta, consultório único — menor custo, maior alcance urbano.</t>
  </si>
  <si>
    <t>Caminhão/Baú: imagem média, odonto duplo, ocupacional — bom equilíbrio custo x capacidade.</t>
  </si>
  <si>
    <t>Carreta/Semirreboque: imagem pesada (TC/RM), cirúrgico, mamografia — maior capacidade e custo.</t>
  </si>
  <si>
    <t>Ônibus (variante): odonto múltiplo, capacitação, hemóvel — incluído na aba Veiculos p/ uso opcional.</t>
  </si>
  <si>
    <t>APLICAÇÃO NO ETP/TR (Lei 14.133/2021)</t>
  </si>
  <si>
    <t>Separe sempre 'locação da UMS' (SECA) de 'prestação de serviços assistenciais' na planilha orçamentária.</t>
  </si>
  <si>
    <t>Componha a pesquisa de preços (art. 23) com 3 cotações + contratos-paradigma do PNCP + esta memória.</t>
  </si>
  <si>
    <t>ROADMAP — INTEGRAÇÃO G3 / brain27</t>
  </si>
  <si>
    <t>Portal de consulta: https://g3healthservice.github.io/brain27/ — a aba Catalogo pode virar CSV/JSON p/ publicar.</t>
  </si>
  <si>
    <t>Dashboards G3 (Links_Dashboards_G3.html, local): incorporar o catálogo como fonte de dados dos painéis.</t>
  </si>
  <si>
    <t>Próximos passos sugeridos: (1) exportar Catalogo em JSON; (2) formulário de consulta ligado às faixas do Painel;</t>
  </si>
  <si>
    <t>(3) versionar premissas por região/ano; (4) coletar cotações reais e substituir estimativas gradualmente.</t>
  </si>
  <si>
    <t>Elaborado por G3 Health Service · estimativas técnicas · sujeitas a validação por cotação de mercado (2025/2026).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</si>
</sst>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_-;&quot;-R$ &quot;* #,##0_-;_-\r&quot;$ &quot;* \-_-"/>
    <numFmt numFmtId="165" formatCode="0.0%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1"/>
      <color rgb="FF1F4E5F"/>
      <name val="Arial"/>
      <family val="2"/>
    </font>
    <font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59595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8"/>
      <color rgb="FF000000"/>
      <name val="Arial"/>
      <family val="2"/>
    </font>
    <font>
      <i/>
      <sz val="9"/>
      <color rgb="FF595959"/>
      <name val="Arial"/>
      <family val="2"/>
    </font>
    <font>
      <b/>
      <sz val="13"/>
      <color rgb="FFFFFFFF"/>
      <name val="Arial"/>
      <family val="2"/>
    </font>
    <font>
      <i/>
      <sz val="9"/>
      <color rgb="FF000000"/>
      <name val="Arial"/>
      <family val="2"/>
    </font>
    <font>
      <b/>
      <sz val="11"/>
      <color rgb="FF0000FF"/>
      <name val="Arial"/>
      <family val="2"/>
    </font>
    <font>
      <b/>
      <sz val="10"/>
      <color rgb="FF1F4E5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2E6E82"/>
        <bgColor rgb="FF1F4E5F"/>
      </patternFill>
    </fill>
    <fill>
      <patternFill patternType="solid">
        <fgColor rgb="FFD9E8EC"/>
        <bgColor rgb="FFEAF3F5"/>
      </patternFill>
    </fill>
    <fill>
      <patternFill patternType="solid">
        <fgColor rgb="FFEAF3F5"/>
        <bgColor rgb="FFF3EE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3EEF7"/>
        <bgColor rgb="FFEAF3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4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9" fillId="0" borderId="0" xfId="0" applyFont="1"/>
    <xf numFmtId="0" fontId="8" fillId="0" borderId="0" xfId="0" applyFont="1"/>
    <xf numFmtId="0" fontId="3" fillId="4" borderId="0" xfId="0" applyFont="1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/>
    <xf numFmtId="0" fontId="8" fillId="0" borderId="1" xfId="0" applyFont="1" applyBorder="1"/>
    <xf numFmtId="0" fontId="11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0" fontId="11" fillId="8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right" vertical="center"/>
    </xf>
    <xf numFmtId="0" fontId="15" fillId="0" borderId="1" xfId="0" applyFont="1" applyBorder="1"/>
    <xf numFmtId="165" fontId="16" fillId="6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4" fillId="2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2"/>
      <rgbColor rgb="FFBFBFBF"/>
      <rgbColor rgb="FF808080"/>
      <rgbColor rgb="FF9999FF"/>
      <rgbColor rgb="FF993366"/>
      <rgbColor rgb="FFFFF2CC"/>
      <rgbColor rgb="FFEA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EC"/>
      <rgbColor rgb="FFF3EEF7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showGridLines="0" zoomScale="125" zoomScaleNormal="100" workbookViewId="0">
      <selection activeCell="B21" sqref="B21:E21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3" width="20" customWidth="1"/>
    <col min="4" max="4" width="23" bestFit="1" customWidth="1"/>
    <col min="5" max="5" width="20" customWidth="1"/>
    <col min="6" max="6" width="3" customWidth="1"/>
  </cols>
  <sheetData>
    <row r="2" spans="2:5" ht="25.5" customHeight="1" x14ac:dyDescent="0.2">
      <c r="B2" s="7" t="s">
        <v>0</v>
      </c>
      <c r="C2" s="7"/>
      <c r="D2" s="7"/>
      <c r="E2" s="7"/>
    </row>
    <row r="3" spans="2:5" x14ac:dyDescent="0.2">
      <c r="B3" s="6" t="s">
        <v>1</v>
      </c>
      <c r="C3" s="6"/>
      <c r="D3" s="6"/>
      <c r="E3" s="6"/>
    </row>
    <row r="5" spans="2:5" x14ac:dyDescent="0.2">
      <c r="B5" s="5" t="s">
        <v>2</v>
      </c>
      <c r="C5" s="5"/>
      <c r="D5" s="5"/>
      <c r="E5" s="5"/>
    </row>
    <row r="6" spans="2:5" x14ac:dyDescent="0.2">
      <c r="B6" s="8" t="s">
        <v>3</v>
      </c>
      <c r="C6" s="9">
        <f>MIN(Catalogo!H5:H29)</f>
        <v>16500</v>
      </c>
    </row>
    <row r="7" spans="2:5" x14ac:dyDescent="0.2">
      <c r="B7" s="8" t="s">
        <v>4</v>
      </c>
      <c r="C7" s="9">
        <f>MAX(Catalogo!H5:H29)</f>
        <v>174000</v>
      </c>
    </row>
    <row r="8" spans="2:5" x14ac:dyDescent="0.2">
      <c r="B8" s="8" t="s">
        <v>5</v>
      </c>
      <c r="C8" s="9">
        <f>MIN(Catalogo!L5:L29)</f>
        <v>100989.83050847457</v>
      </c>
    </row>
    <row r="9" spans="2:5" x14ac:dyDescent="0.2">
      <c r="B9" s="8" t="s">
        <v>6</v>
      </c>
      <c r="C9" s="9">
        <f>MAX(Catalogo!L5:L29)</f>
        <v>697057.62711864407</v>
      </c>
    </row>
    <row r="11" spans="2:5" x14ac:dyDescent="0.2">
      <c r="B11" s="5" t="s">
        <v>7</v>
      </c>
      <c r="C11" s="5"/>
      <c r="D11" s="5"/>
      <c r="E11" s="5"/>
    </row>
    <row r="12" spans="2:5" x14ac:dyDescent="0.2">
      <c r="B12" s="10" t="s">
        <v>8</v>
      </c>
      <c r="C12" s="10" t="s">
        <v>9</v>
      </c>
      <c r="D12" s="10" t="s">
        <v>10</v>
      </c>
    </row>
    <row r="13" spans="2:5" x14ac:dyDescent="0.2">
      <c r="B13" s="11" t="s">
        <v>11</v>
      </c>
      <c r="C13" s="12">
        <f>AVERAGEIF(Catalogo!$D$5:$D$29,"Van",Catalogo!H5:H29)</f>
        <v>19066.666666666668</v>
      </c>
      <c r="D13" s="12">
        <f>AVERAGEIF(Catalogo!$D$5:$D$29,"Van",Catalogo!L5:L29)</f>
        <v>147915.93220338982</v>
      </c>
    </row>
    <row r="14" spans="2:5" x14ac:dyDescent="0.2">
      <c r="B14" s="11" t="s">
        <v>12</v>
      </c>
      <c r="C14" s="12">
        <f>AVERAGEIF(Catalogo!$D$5:$D$29,"Caminhão",Catalogo!H5:H29)</f>
        <v>38666.666666666664</v>
      </c>
      <c r="D14" s="12">
        <f>AVERAGEIF(Catalogo!$D$5:$D$29,"Caminhão",Catalogo!L5:L29)</f>
        <v>238427.11864406781</v>
      </c>
    </row>
    <row r="15" spans="2:5" x14ac:dyDescent="0.2">
      <c r="B15" s="11" t="s">
        <v>13</v>
      </c>
      <c r="C15" s="12">
        <f>AVERAGEIF(Catalogo!$D$5:$D$29,"Carreta",Catalogo!H5:H29)</f>
        <v>94714.28571428571</v>
      </c>
      <c r="D15" s="12">
        <f>AVERAGEIF(Catalogo!$D$5:$D$29,"Carreta",Catalogo!L5:L29)</f>
        <v>526752.54237288143</v>
      </c>
    </row>
    <row r="18" spans="2:5" x14ac:dyDescent="0.2">
      <c r="B18" s="4" t="s">
        <v>14</v>
      </c>
      <c r="C18" s="4"/>
      <c r="D18" s="4"/>
      <c r="E18" s="4"/>
    </row>
    <row r="19" spans="2:5" x14ac:dyDescent="0.2">
      <c r="B19" s="3" t="s">
        <v>15</v>
      </c>
      <c r="C19" s="3"/>
      <c r="D19" s="3"/>
      <c r="E19" s="3"/>
    </row>
    <row r="20" spans="2:5" x14ac:dyDescent="0.2">
      <c r="B20" s="3" t="s">
        <v>16</v>
      </c>
      <c r="C20" s="3"/>
      <c r="D20" s="3"/>
      <c r="E20" s="3"/>
    </row>
    <row r="21" spans="2:5" x14ac:dyDescent="0.2">
      <c r="B21" s="3" t="s">
        <v>17</v>
      </c>
      <c r="C21" s="3"/>
      <c r="D21" s="3"/>
      <c r="E21" s="3"/>
    </row>
    <row r="22" spans="2:5" x14ac:dyDescent="0.2">
      <c r="B22" s="3" t="s">
        <v>18</v>
      </c>
      <c r="C22" s="3"/>
      <c r="D22" s="3"/>
      <c r="E22" s="3"/>
    </row>
    <row r="23" spans="2:5" x14ac:dyDescent="0.2">
      <c r="B23" s="3" t="s">
        <v>19</v>
      </c>
      <c r="C23" s="3"/>
      <c r="D23" s="3"/>
      <c r="E23" s="3"/>
    </row>
  </sheetData>
  <mergeCells count="10">
    <mergeCell ref="B19:E19"/>
    <mergeCell ref="B20:E20"/>
    <mergeCell ref="B21:E21"/>
    <mergeCell ref="B22:E22"/>
    <mergeCell ref="B23:E23"/>
    <mergeCell ref="B2:E2"/>
    <mergeCell ref="B3:E3"/>
    <mergeCell ref="B5:E5"/>
    <mergeCell ref="B11:E11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31"/>
  <sheetViews>
    <sheetView showGridLines="0" tabSelected="1" zoomScale="133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8" sqref="C8"/>
    </sheetView>
  </sheetViews>
  <sheetFormatPr baseColWidth="10" defaultColWidth="8.6640625" defaultRowHeight="15" x14ac:dyDescent="0.2"/>
  <cols>
    <col min="1" max="1" width="3" customWidth="1"/>
    <col min="2" max="2" width="20" customWidth="1"/>
    <col min="3" max="3" width="38" customWidth="1"/>
    <col min="4" max="4" width="14" customWidth="1"/>
    <col min="5" max="9" width="16" customWidth="1"/>
    <col min="10" max="10" width="18" customWidth="1"/>
    <col min="11" max="11" width="16" customWidth="1"/>
    <col min="12" max="12" width="18" customWidth="1"/>
    <col min="13" max="13" width="20" customWidth="1"/>
    <col min="14" max="14" width="12" customWidth="1"/>
    <col min="15" max="15" width="40" customWidth="1"/>
  </cols>
  <sheetData>
    <row r="2" spans="2:15" ht="25.5" customHeight="1" x14ac:dyDescent="0.2">
      <c r="B2" s="7" t="s">
        <v>20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2:15" ht="18" customHeight="1" x14ac:dyDescent="0.2">
      <c r="B3" s="6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2:15" ht="42" customHeight="1" x14ac:dyDescent="0.2">
      <c r="B4" s="13" t="s">
        <v>22</v>
      </c>
      <c r="C4" s="13" t="s">
        <v>23</v>
      </c>
      <c r="D4" s="13" t="s">
        <v>8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</row>
    <row r="5" spans="2:15" x14ac:dyDescent="0.2">
      <c r="B5" s="14" t="s">
        <v>35</v>
      </c>
      <c r="C5" s="15" t="s">
        <v>36</v>
      </c>
      <c r="D5" s="16" t="s">
        <v>11</v>
      </c>
      <c r="E5" s="17">
        <f>INDEX(Veiculos!$C$5:$C$8,MATCH($D5,Veiculos!$B$5:$B$8,0))</f>
        <v>450000</v>
      </c>
      <c r="F5" s="18">
        <v>120000</v>
      </c>
      <c r="G5" s="17">
        <f t="shared" ref="G5:G29" si="0">E5+F5</f>
        <v>570000</v>
      </c>
      <c r="H5" s="19">
        <f>G5*Premissas!$C$4</f>
        <v>17100</v>
      </c>
      <c r="I5" s="17">
        <f>INDEX(Veiculos!$D$5:$D$8,MATCH($D5,Veiculos!$B$5:$B$8,0))</f>
        <v>25000</v>
      </c>
      <c r="J5" s="18">
        <v>45000</v>
      </c>
      <c r="K5" s="20">
        <f t="shared" ref="K5:K29" si="1">H5+I5+J5</f>
        <v>87100</v>
      </c>
      <c r="L5" s="19">
        <f>K5*(1+Premissas!$C$5)/(1-Premissas!$C$6-Premissas!$C$7)</f>
        <v>132273.89830508476</v>
      </c>
      <c r="M5" s="17">
        <f>L5*(1+Premissas!$C$8)</f>
        <v>171956.06779661021</v>
      </c>
      <c r="N5" s="21">
        <v>600</v>
      </c>
      <c r="O5" s="22" t="s">
        <v>37</v>
      </c>
    </row>
    <row r="6" spans="2:15" x14ac:dyDescent="0.2">
      <c r="B6" s="14" t="s">
        <v>35</v>
      </c>
      <c r="C6" s="15" t="s">
        <v>38</v>
      </c>
      <c r="D6" s="16" t="s">
        <v>12</v>
      </c>
      <c r="E6" s="17">
        <f>INDEX(Veiculos!$C$5:$C$8,MATCH($D6,Veiculos!$B$5:$B$8,0))</f>
        <v>900000</v>
      </c>
      <c r="F6" s="18">
        <v>250000</v>
      </c>
      <c r="G6" s="17">
        <f t="shared" si="0"/>
        <v>1150000</v>
      </c>
      <c r="H6" s="19">
        <f>G6*Premissas!$C$4</f>
        <v>34500</v>
      </c>
      <c r="I6" s="17">
        <f>INDEX(Veiculos!$D$5:$D$8,MATCH($D6,Veiculos!$B$5:$B$8,0))</f>
        <v>35000</v>
      </c>
      <c r="J6" s="18">
        <v>75000</v>
      </c>
      <c r="K6" s="20">
        <f t="shared" si="1"/>
        <v>144500</v>
      </c>
      <c r="L6" s="19">
        <f>K6*(1+Premissas!$C$5)/(1-Premissas!$C$6-Premissas!$C$7)</f>
        <v>219444.06779661021</v>
      </c>
      <c r="M6" s="17">
        <f>L6*(1+Premissas!$C$8)</f>
        <v>285277.28813559329</v>
      </c>
      <c r="N6" s="21">
        <v>1200</v>
      </c>
      <c r="O6" s="22" t="s">
        <v>39</v>
      </c>
    </row>
    <row r="7" spans="2:15" x14ac:dyDescent="0.2">
      <c r="B7" s="14" t="s">
        <v>35</v>
      </c>
      <c r="C7" s="15" t="s">
        <v>40</v>
      </c>
      <c r="D7" s="16" t="s">
        <v>12</v>
      </c>
      <c r="E7" s="17">
        <f>INDEX(Veiculos!$C$5:$C$8,MATCH($D7,Veiculos!$B$5:$B$8,0))</f>
        <v>900000</v>
      </c>
      <c r="F7" s="18">
        <v>400000</v>
      </c>
      <c r="G7" s="17">
        <f t="shared" si="0"/>
        <v>1300000</v>
      </c>
      <c r="H7" s="19">
        <f>G7*Premissas!$C$4</f>
        <v>39000</v>
      </c>
      <c r="I7" s="17">
        <f>INDEX(Veiculos!$D$5:$D$8,MATCH($D7,Veiculos!$B$5:$B$8,0))</f>
        <v>35000</v>
      </c>
      <c r="J7" s="18">
        <v>90000</v>
      </c>
      <c r="K7" s="20">
        <f t="shared" si="1"/>
        <v>164000</v>
      </c>
      <c r="L7" s="19">
        <f>K7*(1+Premissas!$C$5)/(1-Premissas!$C$6-Premissas!$C$7)</f>
        <v>249057.6271186441</v>
      </c>
      <c r="M7" s="17">
        <f>L7*(1+Premissas!$C$8)</f>
        <v>323774.91525423736</v>
      </c>
      <c r="N7" s="21">
        <v>1000</v>
      </c>
      <c r="O7" s="22" t="s">
        <v>41</v>
      </c>
    </row>
    <row r="8" spans="2:15" x14ac:dyDescent="0.2">
      <c r="B8" s="14" t="s">
        <v>35</v>
      </c>
      <c r="C8" s="15" t="s">
        <v>42</v>
      </c>
      <c r="D8" s="16" t="s">
        <v>13</v>
      </c>
      <c r="E8" s="17">
        <f>INDEX(Veiculos!$C$5:$C$8,MATCH($D8,Veiculos!$B$5:$B$8,0))</f>
        <v>1300000</v>
      </c>
      <c r="F8" s="18">
        <v>900000</v>
      </c>
      <c r="G8" s="17">
        <f t="shared" si="0"/>
        <v>2200000</v>
      </c>
      <c r="H8" s="19">
        <f>G8*Premissas!$C$4</f>
        <v>66000</v>
      </c>
      <c r="I8" s="17">
        <f>INDEX(Veiculos!$D$5:$D$8,MATCH($D8,Veiculos!$B$5:$B$8,0))</f>
        <v>55000</v>
      </c>
      <c r="J8" s="18">
        <v>220000</v>
      </c>
      <c r="K8" s="20">
        <f t="shared" si="1"/>
        <v>341000</v>
      </c>
      <c r="L8" s="19">
        <f>K8*(1+Premissas!$C$5)/(1-Premissas!$C$6-Premissas!$C$7)</f>
        <v>517857.62711864413</v>
      </c>
      <c r="M8" s="17">
        <f>L8*(1+Premissas!$C$8)</f>
        <v>673214.91525423736</v>
      </c>
      <c r="N8" s="21">
        <v>300</v>
      </c>
      <c r="O8" s="22" t="s">
        <v>43</v>
      </c>
    </row>
    <row r="9" spans="2:15" x14ac:dyDescent="0.2">
      <c r="B9" s="14" t="s">
        <v>35</v>
      </c>
      <c r="C9" s="15" t="s">
        <v>44</v>
      </c>
      <c r="D9" s="16" t="s">
        <v>13</v>
      </c>
      <c r="E9" s="17">
        <f>INDEX(Veiculos!$C$5:$C$8,MATCH($D9,Veiculos!$B$5:$B$8,0))</f>
        <v>1300000</v>
      </c>
      <c r="F9" s="18">
        <v>1100000</v>
      </c>
      <c r="G9" s="17">
        <f t="shared" si="0"/>
        <v>2400000</v>
      </c>
      <c r="H9" s="19">
        <f>G9*Premissas!$C$4</f>
        <v>72000</v>
      </c>
      <c r="I9" s="17">
        <f>INDEX(Veiculos!$D$5:$D$8,MATCH($D9,Veiculos!$B$5:$B$8,0))</f>
        <v>55000</v>
      </c>
      <c r="J9" s="18">
        <v>180000</v>
      </c>
      <c r="K9" s="20">
        <f t="shared" si="1"/>
        <v>307000</v>
      </c>
      <c r="L9" s="19">
        <f>K9*(1+Premissas!$C$5)/(1-Premissas!$C$6-Premissas!$C$7)</f>
        <v>466223.7288135594</v>
      </c>
      <c r="M9" s="17">
        <f>L9*(1+Premissas!$C$8)</f>
        <v>606090.84745762718</v>
      </c>
      <c r="N9" s="21">
        <v>900</v>
      </c>
      <c r="O9" s="22" t="s">
        <v>45</v>
      </c>
    </row>
    <row r="10" spans="2:15" x14ac:dyDescent="0.2">
      <c r="B10" s="14" t="s">
        <v>35</v>
      </c>
      <c r="C10" s="15" t="s">
        <v>46</v>
      </c>
      <c r="D10" s="16" t="s">
        <v>12</v>
      </c>
      <c r="E10" s="17">
        <f>INDEX(Veiculos!$C$5:$C$8,MATCH($D10,Veiculos!$B$5:$B$8,0))</f>
        <v>900000</v>
      </c>
      <c r="F10" s="18">
        <v>250000</v>
      </c>
      <c r="G10" s="17">
        <f t="shared" si="0"/>
        <v>1150000</v>
      </c>
      <c r="H10" s="19">
        <f>G10*Premissas!$C$4</f>
        <v>34500</v>
      </c>
      <c r="I10" s="17">
        <f>INDEX(Veiculos!$D$5:$D$8,MATCH($D10,Veiculos!$B$5:$B$8,0))</f>
        <v>35000</v>
      </c>
      <c r="J10" s="18">
        <v>70000</v>
      </c>
      <c r="K10" s="20">
        <f t="shared" si="1"/>
        <v>139500</v>
      </c>
      <c r="L10" s="19">
        <f>K10*(1+Premissas!$C$5)/(1-Premissas!$C$6-Premissas!$C$7)</f>
        <v>211850.84745762715</v>
      </c>
      <c r="M10" s="17">
        <f>L10*(1+Premissas!$C$8)</f>
        <v>275406.10169491533</v>
      </c>
      <c r="N10" s="21">
        <v>800</v>
      </c>
      <c r="O10" s="22" t="s">
        <v>47</v>
      </c>
    </row>
    <row r="11" spans="2:15" x14ac:dyDescent="0.2">
      <c r="B11" s="14" t="s">
        <v>35</v>
      </c>
      <c r="C11" s="15" t="s">
        <v>48</v>
      </c>
      <c r="D11" s="16" t="s">
        <v>13</v>
      </c>
      <c r="E11" s="17">
        <f>INDEX(Veiculos!$C$5:$C$8,MATCH($D11,Veiculos!$B$5:$B$8,0))</f>
        <v>1300000</v>
      </c>
      <c r="F11" s="18">
        <v>3200000</v>
      </c>
      <c r="G11" s="17">
        <f t="shared" si="0"/>
        <v>4500000</v>
      </c>
      <c r="H11" s="19">
        <f>G11*Premissas!$C$4</f>
        <v>135000</v>
      </c>
      <c r="I11" s="17">
        <f>INDEX(Veiculos!$D$5:$D$8,MATCH($D11,Veiculos!$B$5:$B$8,0))</f>
        <v>55000</v>
      </c>
      <c r="J11" s="18">
        <v>200000</v>
      </c>
      <c r="K11" s="20">
        <f t="shared" si="1"/>
        <v>390000</v>
      </c>
      <c r="L11" s="19">
        <f>K11*(1+Premissas!$C$5)/(1-Premissas!$C$6-Premissas!$C$7)</f>
        <v>592271.18644067796</v>
      </c>
      <c r="M11" s="17">
        <f>L11*(1+Premissas!$C$8)</f>
        <v>769952.54237288143</v>
      </c>
      <c r="N11" s="21">
        <v>1200</v>
      </c>
      <c r="O11" s="22" t="s">
        <v>49</v>
      </c>
    </row>
    <row r="12" spans="2:15" x14ac:dyDescent="0.2">
      <c r="B12" s="14" t="s">
        <v>35</v>
      </c>
      <c r="C12" s="15" t="s">
        <v>50</v>
      </c>
      <c r="D12" s="16" t="s">
        <v>13</v>
      </c>
      <c r="E12" s="17">
        <f>INDEX(Veiculos!$C$5:$C$8,MATCH($D12,Veiculos!$B$5:$B$8,0))</f>
        <v>1300000</v>
      </c>
      <c r="F12" s="18">
        <v>4500000</v>
      </c>
      <c r="G12" s="17">
        <f t="shared" si="0"/>
        <v>5800000</v>
      </c>
      <c r="H12" s="19">
        <f>G12*Premissas!$C$4</f>
        <v>174000</v>
      </c>
      <c r="I12" s="17">
        <f>INDEX(Veiculos!$D$5:$D$8,MATCH($D12,Veiculos!$B$5:$B$8,0))</f>
        <v>55000</v>
      </c>
      <c r="J12" s="18">
        <v>230000</v>
      </c>
      <c r="K12" s="20">
        <f t="shared" si="1"/>
        <v>459000</v>
      </c>
      <c r="L12" s="19">
        <f>K12*(1+Premissas!$C$5)/(1-Premissas!$C$6-Premissas!$C$7)</f>
        <v>697057.62711864407</v>
      </c>
      <c r="M12" s="17">
        <f>L12*(1+Premissas!$C$8)</f>
        <v>906174.91525423736</v>
      </c>
      <c r="N12" s="21">
        <v>900</v>
      </c>
      <c r="O12" s="22" t="s">
        <v>51</v>
      </c>
    </row>
    <row r="13" spans="2:15" x14ac:dyDescent="0.2">
      <c r="B13" s="14" t="s">
        <v>35</v>
      </c>
      <c r="C13" s="15" t="s">
        <v>52</v>
      </c>
      <c r="D13" s="16" t="s">
        <v>12</v>
      </c>
      <c r="E13" s="17">
        <f>INDEX(Veiculos!$C$5:$C$8,MATCH($D13,Veiculos!$B$5:$B$8,0))</f>
        <v>900000</v>
      </c>
      <c r="F13" s="18">
        <v>350000</v>
      </c>
      <c r="G13" s="17">
        <f t="shared" si="0"/>
        <v>1250000</v>
      </c>
      <c r="H13" s="19">
        <f>G13*Premissas!$C$4</f>
        <v>37500</v>
      </c>
      <c r="I13" s="17">
        <f>INDEX(Veiculos!$D$5:$D$8,MATCH($D13,Veiculos!$B$5:$B$8,0))</f>
        <v>35000</v>
      </c>
      <c r="J13" s="18">
        <v>70000</v>
      </c>
      <c r="K13" s="20">
        <f t="shared" si="1"/>
        <v>142500</v>
      </c>
      <c r="L13" s="19">
        <f>K13*(1+Premissas!$C$5)/(1-Premissas!$C$6-Premissas!$C$7)</f>
        <v>216406.77966101698</v>
      </c>
      <c r="M13" s="17">
        <f>L13*(1+Premissas!$C$8)</f>
        <v>281328.81355932209</v>
      </c>
      <c r="N13" s="21">
        <v>1500</v>
      </c>
      <c r="O13" s="22" t="s">
        <v>53</v>
      </c>
    </row>
    <row r="14" spans="2:15" x14ac:dyDescent="0.2">
      <c r="B14" s="14" t="s">
        <v>35</v>
      </c>
      <c r="C14" s="15" t="s">
        <v>54</v>
      </c>
      <c r="D14" s="16" t="s">
        <v>11</v>
      </c>
      <c r="E14" s="17">
        <f>INDEX(Veiculos!$C$5:$C$8,MATCH($D14,Veiculos!$B$5:$B$8,0))</f>
        <v>450000</v>
      </c>
      <c r="F14" s="18">
        <v>300000</v>
      </c>
      <c r="G14" s="17">
        <f t="shared" si="0"/>
        <v>750000</v>
      </c>
      <c r="H14" s="19">
        <f>G14*Premissas!$C$4</f>
        <v>22500</v>
      </c>
      <c r="I14" s="17">
        <f>INDEX(Veiculos!$D$5:$D$8,MATCH($D14,Veiculos!$B$5:$B$8,0))</f>
        <v>25000</v>
      </c>
      <c r="J14" s="18">
        <v>80000</v>
      </c>
      <c r="K14" s="20">
        <f t="shared" si="1"/>
        <v>127500</v>
      </c>
      <c r="L14" s="19">
        <f>K14*(1+Premissas!$C$5)/(1-Premissas!$C$6-Premissas!$C$7)</f>
        <v>193627.11864406778</v>
      </c>
      <c r="M14" s="17">
        <f>L14*(1+Premissas!$C$8)</f>
        <v>251715.25423728811</v>
      </c>
      <c r="N14" s="21">
        <v>1200</v>
      </c>
      <c r="O14" s="22" t="s">
        <v>55</v>
      </c>
    </row>
    <row r="15" spans="2:15" x14ac:dyDescent="0.2">
      <c r="B15" s="14" t="s">
        <v>35</v>
      </c>
      <c r="C15" s="15" t="s">
        <v>56</v>
      </c>
      <c r="D15" s="16" t="s">
        <v>11</v>
      </c>
      <c r="E15" s="17">
        <f>INDEX(Veiculos!$C$5:$C$8,MATCH($D15,Veiculos!$B$5:$B$8,0))</f>
        <v>450000</v>
      </c>
      <c r="F15" s="18">
        <v>180000</v>
      </c>
      <c r="G15" s="17">
        <f t="shared" si="0"/>
        <v>630000</v>
      </c>
      <c r="H15" s="19">
        <f>G15*Premissas!$C$4</f>
        <v>18900</v>
      </c>
      <c r="I15" s="17">
        <f>INDEX(Veiculos!$D$5:$D$8,MATCH($D15,Veiculos!$B$5:$B$8,0))</f>
        <v>25000</v>
      </c>
      <c r="J15" s="18">
        <v>55000</v>
      </c>
      <c r="K15" s="20">
        <f t="shared" si="1"/>
        <v>98900</v>
      </c>
      <c r="L15" s="19">
        <f>K15*(1+Premissas!$C$5)/(1-Premissas!$C$6-Premissas!$C$7)</f>
        <v>150193.89830508476</v>
      </c>
      <c r="M15" s="17">
        <f>L15*(1+Premissas!$C$8)</f>
        <v>195252.06779661021</v>
      </c>
      <c r="N15" s="21">
        <v>2000</v>
      </c>
      <c r="O15" s="22" t="s">
        <v>57</v>
      </c>
    </row>
    <row r="16" spans="2:15" x14ac:dyDescent="0.2">
      <c r="B16" s="14" t="s">
        <v>35</v>
      </c>
      <c r="C16" s="15" t="s">
        <v>58</v>
      </c>
      <c r="D16" s="16" t="s">
        <v>12</v>
      </c>
      <c r="E16" s="17">
        <f>INDEX(Veiculos!$C$5:$C$8,MATCH($D16,Veiculos!$B$5:$B$8,0))</f>
        <v>900000</v>
      </c>
      <c r="F16" s="18">
        <v>500000</v>
      </c>
      <c r="G16" s="17">
        <f t="shared" si="0"/>
        <v>1400000</v>
      </c>
      <c r="H16" s="19">
        <f>G16*Premissas!$C$4</f>
        <v>42000</v>
      </c>
      <c r="I16" s="17">
        <f>INDEX(Veiculos!$D$5:$D$8,MATCH($D16,Veiculos!$B$5:$B$8,0))</f>
        <v>35000</v>
      </c>
      <c r="J16" s="18">
        <v>90000</v>
      </c>
      <c r="K16" s="20">
        <f t="shared" si="1"/>
        <v>167000</v>
      </c>
      <c r="L16" s="19">
        <f>K16*(1+Premissas!$C$5)/(1-Premissas!$C$6-Premissas!$C$7)</f>
        <v>253613.55932203392</v>
      </c>
      <c r="M16" s="17">
        <f>L16*(1+Premissas!$C$8)</f>
        <v>329697.62711864413</v>
      </c>
      <c r="N16" s="21">
        <v>2000</v>
      </c>
      <c r="O16" s="22" t="s">
        <v>59</v>
      </c>
    </row>
    <row r="17" spans="2:15" x14ac:dyDescent="0.2">
      <c r="B17" s="14" t="s">
        <v>35</v>
      </c>
      <c r="C17" s="15" t="s">
        <v>60</v>
      </c>
      <c r="D17" s="16" t="s">
        <v>11</v>
      </c>
      <c r="E17" s="17">
        <f>INDEX(Veiculos!$C$5:$C$8,MATCH($D17,Veiculos!$B$5:$B$8,0))</f>
        <v>450000</v>
      </c>
      <c r="F17" s="18">
        <v>350000</v>
      </c>
      <c r="G17" s="17">
        <f t="shared" si="0"/>
        <v>800000</v>
      </c>
      <c r="H17" s="19">
        <f>G17*Premissas!$C$4</f>
        <v>24000</v>
      </c>
      <c r="I17" s="17">
        <f>INDEX(Veiculos!$D$5:$D$8,MATCH($D17,Veiculos!$B$5:$B$8,0))</f>
        <v>25000</v>
      </c>
      <c r="J17" s="18">
        <v>85000</v>
      </c>
      <c r="K17" s="20">
        <f t="shared" si="1"/>
        <v>134000</v>
      </c>
      <c r="L17" s="19">
        <f>K17*(1+Premissas!$C$5)/(1-Premissas!$C$6-Premissas!$C$7)</f>
        <v>203498.30508474575</v>
      </c>
      <c r="M17" s="17">
        <f>L17*(1+Premissas!$C$8)</f>
        <v>264547.79661016946</v>
      </c>
      <c r="N17" s="21">
        <v>700</v>
      </c>
      <c r="O17" s="22" t="s">
        <v>61</v>
      </c>
    </row>
    <row r="18" spans="2:15" x14ac:dyDescent="0.2">
      <c r="B18" s="14" t="s">
        <v>35</v>
      </c>
      <c r="C18" s="15" t="s">
        <v>62</v>
      </c>
      <c r="D18" s="16" t="s">
        <v>11</v>
      </c>
      <c r="E18" s="17">
        <f>INDEX(Veiculos!$C$5:$C$8,MATCH($D18,Veiculos!$B$5:$B$8,0))</f>
        <v>450000</v>
      </c>
      <c r="F18" s="18">
        <v>120000</v>
      </c>
      <c r="G18" s="17">
        <f t="shared" si="0"/>
        <v>570000</v>
      </c>
      <c r="H18" s="19">
        <f>G18*Premissas!$C$4</f>
        <v>17100</v>
      </c>
      <c r="I18" s="17">
        <f>INDEX(Veiculos!$D$5:$D$8,MATCH($D18,Veiculos!$B$5:$B$8,0))</f>
        <v>25000</v>
      </c>
      <c r="J18" s="18">
        <v>40000</v>
      </c>
      <c r="K18" s="20">
        <f t="shared" si="1"/>
        <v>82100</v>
      </c>
      <c r="L18" s="19">
        <f>K18*(1+Premissas!$C$5)/(1-Premissas!$C$6-Premissas!$C$7)</f>
        <v>124680.67796610171</v>
      </c>
      <c r="M18" s="17">
        <f>L18*(1+Premissas!$C$8)</f>
        <v>162084.88135593222</v>
      </c>
      <c r="N18" s="21">
        <v>3000</v>
      </c>
      <c r="O18" s="22" t="s">
        <v>63</v>
      </c>
    </row>
    <row r="19" spans="2:15" x14ac:dyDescent="0.2">
      <c r="B19" s="14" t="s">
        <v>35</v>
      </c>
      <c r="C19" s="15" t="s">
        <v>64</v>
      </c>
      <c r="D19" s="16" t="s">
        <v>11</v>
      </c>
      <c r="E19" s="17">
        <f>INDEX(Veiculos!$C$5:$C$8,MATCH($D19,Veiculos!$B$5:$B$8,0))</f>
        <v>450000</v>
      </c>
      <c r="F19" s="18">
        <v>200000</v>
      </c>
      <c r="G19" s="17">
        <f t="shared" si="0"/>
        <v>650000</v>
      </c>
      <c r="H19" s="19">
        <f>G19*Premissas!$C$4</f>
        <v>19500</v>
      </c>
      <c r="I19" s="17">
        <f>INDEX(Veiculos!$D$5:$D$8,MATCH($D19,Veiculos!$B$5:$B$8,0))</f>
        <v>25000</v>
      </c>
      <c r="J19" s="18">
        <v>60000</v>
      </c>
      <c r="K19" s="20">
        <f t="shared" si="1"/>
        <v>104500</v>
      </c>
      <c r="L19" s="19">
        <f>K19*(1+Premissas!$C$5)/(1-Premissas!$C$6-Premissas!$C$7)</f>
        <v>158698.30508474578</v>
      </c>
      <c r="M19" s="17">
        <f>L19*(1+Premissas!$C$8)</f>
        <v>206307.79661016952</v>
      </c>
      <c r="N19" s="21">
        <v>1500</v>
      </c>
      <c r="O19" s="22" t="s">
        <v>65</v>
      </c>
    </row>
    <row r="20" spans="2:15" x14ac:dyDescent="0.2">
      <c r="B20" s="14" t="s">
        <v>35</v>
      </c>
      <c r="C20" s="15" t="s">
        <v>66</v>
      </c>
      <c r="D20" s="16" t="s">
        <v>13</v>
      </c>
      <c r="E20" s="17">
        <f>INDEX(Veiculos!$C$5:$C$8,MATCH($D20,Veiculos!$B$5:$B$8,0))</f>
        <v>1300000</v>
      </c>
      <c r="F20" s="18">
        <v>1500000</v>
      </c>
      <c r="G20" s="17">
        <f t="shared" si="0"/>
        <v>2800000</v>
      </c>
      <c r="H20" s="19">
        <f>G20*Premissas!$C$4</f>
        <v>84000</v>
      </c>
      <c r="I20" s="17">
        <f>INDEX(Veiculos!$D$5:$D$8,MATCH($D20,Veiculos!$B$5:$B$8,0))</f>
        <v>55000</v>
      </c>
      <c r="J20" s="18">
        <v>250000</v>
      </c>
      <c r="K20" s="20">
        <f t="shared" si="1"/>
        <v>389000</v>
      </c>
      <c r="L20" s="19">
        <f>K20*(1+Premissas!$C$5)/(1-Premissas!$C$6-Premissas!$C$7)</f>
        <v>590752.54237288143</v>
      </c>
      <c r="M20" s="17">
        <f>L20*(1+Premissas!$C$8)</f>
        <v>767978.30508474587</v>
      </c>
      <c r="N20" s="21">
        <v>400</v>
      </c>
      <c r="O20" s="22" t="s">
        <v>67</v>
      </c>
    </row>
    <row r="21" spans="2:15" x14ac:dyDescent="0.2">
      <c r="B21" s="14" t="s">
        <v>35</v>
      </c>
      <c r="C21" s="15" t="s">
        <v>68</v>
      </c>
      <c r="D21" s="16" t="s">
        <v>12</v>
      </c>
      <c r="E21" s="17">
        <f>INDEX(Veiculos!$C$5:$C$8,MATCH($D21,Veiculos!$B$5:$B$8,0))</f>
        <v>900000</v>
      </c>
      <c r="F21" s="18">
        <v>800000</v>
      </c>
      <c r="G21" s="17">
        <f t="shared" si="0"/>
        <v>1700000</v>
      </c>
      <c r="H21" s="19">
        <f>G21*Premissas!$C$4</f>
        <v>51000</v>
      </c>
      <c r="I21" s="17">
        <f>INDEX(Veiculos!$D$5:$D$8,MATCH($D21,Veiculos!$B$5:$B$8,0))</f>
        <v>35000</v>
      </c>
      <c r="J21" s="18">
        <v>160000</v>
      </c>
      <c r="K21" s="20">
        <f t="shared" si="1"/>
        <v>246000</v>
      </c>
      <c r="L21" s="19">
        <f>K21*(1+Premissas!$C$5)/(1-Premissas!$C$6-Premissas!$C$7)</f>
        <v>373586.44067796611</v>
      </c>
      <c r="M21" s="17">
        <f>L21*(1+Premissas!$C$8)</f>
        <v>485662.37288135593</v>
      </c>
      <c r="N21" s="21">
        <v>500</v>
      </c>
      <c r="O21" s="22" t="s">
        <v>69</v>
      </c>
    </row>
    <row r="22" spans="2:15" x14ac:dyDescent="0.2">
      <c r="B22" s="14" t="s">
        <v>35</v>
      </c>
      <c r="C22" s="15" t="s">
        <v>70</v>
      </c>
      <c r="D22" s="16" t="s">
        <v>13</v>
      </c>
      <c r="E22" s="17">
        <f>INDEX(Veiculos!$C$5:$C$8,MATCH($D22,Veiculos!$B$5:$B$8,0))</f>
        <v>1300000</v>
      </c>
      <c r="F22" s="18">
        <v>1200000</v>
      </c>
      <c r="G22" s="17">
        <f t="shared" si="0"/>
        <v>2500000</v>
      </c>
      <c r="H22" s="19">
        <f>G22*Premissas!$C$4</f>
        <v>75000</v>
      </c>
      <c r="I22" s="17">
        <f>INDEX(Veiculos!$D$5:$D$8,MATCH($D22,Veiculos!$B$5:$B$8,0))</f>
        <v>55000</v>
      </c>
      <c r="J22" s="18">
        <v>230000</v>
      </c>
      <c r="K22" s="20">
        <f t="shared" si="1"/>
        <v>360000</v>
      </c>
      <c r="L22" s="19">
        <f>K22*(1+Premissas!$C$5)/(1-Premissas!$C$6-Premissas!$C$7)</f>
        <v>546711.86440677976</v>
      </c>
      <c r="M22" s="17">
        <f>L22*(1+Premissas!$C$8)</f>
        <v>710725.42372881377</v>
      </c>
      <c r="N22" s="21">
        <v>400</v>
      </c>
      <c r="O22" s="22" t="s">
        <v>71</v>
      </c>
    </row>
    <row r="23" spans="2:15" x14ac:dyDescent="0.2">
      <c r="B23" s="14" t="s">
        <v>35</v>
      </c>
      <c r="C23" s="15" t="s">
        <v>72</v>
      </c>
      <c r="D23" s="16" t="s">
        <v>12</v>
      </c>
      <c r="E23" s="17">
        <f>INDEX(Veiculos!$C$5:$C$8,MATCH($D23,Veiculos!$B$5:$B$8,0))</f>
        <v>900000</v>
      </c>
      <c r="F23" s="18">
        <v>400000</v>
      </c>
      <c r="G23" s="17">
        <f t="shared" si="0"/>
        <v>1300000</v>
      </c>
      <c r="H23" s="19">
        <f>G23*Premissas!$C$4</f>
        <v>39000</v>
      </c>
      <c r="I23" s="17">
        <f>INDEX(Veiculos!$D$5:$D$8,MATCH($D23,Veiculos!$B$5:$B$8,0))</f>
        <v>35000</v>
      </c>
      <c r="J23" s="18">
        <v>90000</v>
      </c>
      <c r="K23" s="20">
        <f t="shared" si="1"/>
        <v>164000</v>
      </c>
      <c r="L23" s="19">
        <f>K23*(1+Premissas!$C$5)/(1-Premissas!$C$6-Premissas!$C$7)</f>
        <v>249057.6271186441</v>
      </c>
      <c r="M23" s="17">
        <f>L23*(1+Premissas!$C$8)</f>
        <v>323774.91525423736</v>
      </c>
      <c r="N23" s="21">
        <v>800</v>
      </c>
      <c r="O23" s="22" t="s">
        <v>73</v>
      </c>
    </row>
    <row r="24" spans="2:15" x14ac:dyDescent="0.2">
      <c r="B24" s="14" t="s">
        <v>35</v>
      </c>
      <c r="C24" s="15" t="s">
        <v>74</v>
      </c>
      <c r="D24" s="16" t="s">
        <v>11</v>
      </c>
      <c r="E24" s="17">
        <f>INDEX(Veiculos!$C$5:$C$8,MATCH($D24,Veiculos!$B$5:$B$8,0))</f>
        <v>450000</v>
      </c>
      <c r="F24" s="18">
        <v>150000</v>
      </c>
      <c r="G24" s="17">
        <f t="shared" si="0"/>
        <v>600000</v>
      </c>
      <c r="H24" s="19">
        <f>G24*Premissas!$C$4</f>
        <v>18000</v>
      </c>
      <c r="I24" s="17">
        <f>INDEX(Veiculos!$D$5:$D$8,MATCH($D24,Veiculos!$B$5:$B$8,0))</f>
        <v>25000</v>
      </c>
      <c r="J24" s="18">
        <v>50000</v>
      </c>
      <c r="K24" s="20">
        <f t="shared" si="1"/>
        <v>93000</v>
      </c>
      <c r="L24" s="19">
        <f>K24*(1+Premissas!$C$5)/(1-Premissas!$C$6-Premissas!$C$7)</f>
        <v>141233.89830508476</v>
      </c>
      <c r="M24" s="17">
        <f>L24*(1+Premissas!$C$8)</f>
        <v>183604.06779661021</v>
      </c>
      <c r="N24" s="21">
        <v>900</v>
      </c>
      <c r="O24" s="22" t="s">
        <v>75</v>
      </c>
    </row>
    <row r="25" spans="2:15" x14ac:dyDescent="0.2">
      <c r="B25" s="23" t="s">
        <v>76</v>
      </c>
      <c r="C25" s="15" t="s">
        <v>77</v>
      </c>
      <c r="D25" s="16" t="s">
        <v>12</v>
      </c>
      <c r="E25" s="17">
        <f>INDEX(Veiculos!$C$5:$C$8,MATCH($D25,Veiculos!$B$5:$B$8,0))</f>
        <v>900000</v>
      </c>
      <c r="F25" s="18">
        <v>250000</v>
      </c>
      <c r="G25" s="17">
        <f t="shared" si="0"/>
        <v>1150000</v>
      </c>
      <c r="H25" s="19">
        <f>G25*Premissas!$C$4</f>
        <v>34500</v>
      </c>
      <c r="I25" s="17">
        <f>INDEX(Veiculos!$D$5:$D$8,MATCH($D25,Veiculos!$B$5:$B$8,0))</f>
        <v>35000</v>
      </c>
      <c r="J25" s="18">
        <v>55000</v>
      </c>
      <c r="K25" s="20">
        <f t="shared" si="1"/>
        <v>124500</v>
      </c>
      <c r="L25" s="19">
        <f>K25*(1+Premissas!$C$5)/(1-Premissas!$C$6-Premissas!$C$7)</f>
        <v>189071.18644067796</v>
      </c>
      <c r="M25" s="17">
        <f>L25*(1+Premissas!$C$8)</f>
        <v>245792.54237288135</v>
      </c>
      <c r="N25" s="21">
        <v>800</v>
      </c>
      <c r="O25" s="22" t="s">
        <v>78</v>
      </c>
    </row>
    <row r="26" spans="2:15" x14ac:dyDescent="0.2">
      <c r="B26" s="23" t="s">
        <v>76</v>
      </c>
      <c r="C26" s="15" t="s">
        <v>79</v>
      </c>
      <c r="D26" s="16" t="s">
        <v>12</v>
      </c>
      <c r="E26" s="17">
        <f>INDEX(Veiculos!$C$5:$C$8,MATCH($D26,Veiculos!$B$5:$B$8,0))</f>
        <v>900000</v>
      </c>
      <c r="F26" s="18">
        <v>300000</v>
      </c>
      <c r="G26" s="17">
        <f t="shared" si="0"/>
        <v>1200000</v>
      </c>
      <c r="H26" s="19">
        <f>G26*Premissas!$C$4</f>
        <v>36000</v>
      </c>
      <c r="I26" s="17">
        <f>INDEX(Veiculos!$D$5:$D$8,MATCH($D26,Veiculos!$B$5:$B$8,0))</f>
        <v>35000</v>
      </c>
      <c r="J26" s="18">
        <v>50000</v>
      </c>
      <c r="K26" s="20">
        <f t="shared" si="1"/>
        <v>121000</v>
      </c>
      <c r="L26" s="19">
        <f>K26*(1+Premissas!$C$5)/(1-Premissas!$C$6-Premissas!$C$7)</f>
        <v>183755.93220338982</v>
      </c>
      <c r="M26" s="17">
        <f>L26*(1+Premissas!$C$8)</f>
        <v>238882.71186440677</v>
      </c>
      <c r="N26" s="21">
        <v>900</v>
      </c>
      <c r="O26" s="22" t="s">
        <v>80</v>
      </c>
    </row>
    <row r="27" spans="2:15" x14ac:dyDescent="0.2">
      <c r="B27" s="23" t="s">
        <v>76</v>
      </c>
      <c r="C27" s="15" t="s">
        <v>81</v>
      </c>
      <c r="D27" s="16" t="s">
        <v>13</v>
      </c>
      <c r="E27" s="17">
        <f>INDEX(Veiculos!$C$5:$C$8,MATCH($D27,Veiculos!$B$5:$B$8,0))</f>
        <v>1300000</v>
      </c>
      <c r="F27" s="18">
        <v>600000</v>
      </c>
      <c r="G27" s="17">
        <f t="shared" si="0"/>
        <v>1900000</v>
      </c>
      <c r="H27" s="19">
        <f>G27*Premissas!$C$4</f>
        <v>57000</v>
      </c>
      <c r="I27" s="17">
        <f>INDEX(Veiculos!$D$5:$D$8,MATCH($D27,Veiculos!$B$5:$B$8,0))</f>
        <v>55000</v>
      </c>
      <c r="J27" s="18">
        <v>70000</v>
      </c>
      <c r="K27" s="20">
        <f t="shared" si="1"/>
        <v>182000</v>
      </c>
      <c r="L27" s="19">
        <f>K27*(1+Premissas!$C$5)/(1-Premissas!$C$6-Premissas!$C$7)</f>
        <v>276393.22033898305</v>
      </c>
      <c r="M27" s="17">
        <f>L27*(1+Premissas!$C$8)</f>
        <v>359311.18644067796</v>
      </c>
      <c r="N27" s="21">
        <v>600</v>
      </c>
      <c r="O27" s="22" t="s">
        <v>82</v>
      </c>
    </row>
    <row r="28" spans="2:15" x14ac:dyDescent="0.2">
      <c r="B28" s="23" t="s">
        <v>83</v>
      </c>
      <c r="C28" s="15" t="s">
        <v>84</v>
      </c>
      <c r="D28" s="16" t="s">
        <v>11</v>
      </c>
      <c r="E28" s="17">
        <f>INDEX(Veiculos!$C$5:$C$8,MATCH($D28,Veiculos!$B$5:$B$8,0))</f>
        <v>450000</v>
      </c>
      <c r="F28" s="18">
        <v>150000</v>
      </c>
      <c r="G28" s="17">
        <f t="shared" si="0"/>
        <v>600000</v>
      </c>
      <c r="H28" s="19">
        <f>G28*Premissas!$C$4</f>
        <v>18000</v>
      </c>
      <c r="I28" s="17">
        <f>INDEX(Veiculos!$D$5:$D$8,MATCH($D28,Veiculos!$B$5:$B$8,0))</f>
        <v>25000</v>
      </c>
      <c r="J28" s="18">
        <v>40000</v>
      </c>
      <c r="K28" s="20">
        <f t="shared" si="1"/>
        <v>83000</v>
      </c>
      <c r="L28" s="19">
        <f>K28*(1+Premissas!$C$5)/(1-Premissas!$C$6-Premissas!$C$7)</f>
        <v>126047.45762711865</v>
      </c>
      <c r="M28" s="17">
        <f>L28*(1+Premissas!$C$8)</f>
        <v>163861.69491525425</v>
      </c>
      <c r="N28" s="21">
        <v>1500</v>
      </c>
      <c r="O28" s="22" t="s">
        <v>85</v>
      </c>
    </row>
    <row r="29" spans="2:15" x14ac:dyDescent="0.2">
      <c r="B29" s="23" t="s">
        <v>83</v>
      </c>
      <c r="C29" s="15" t="s">
        <v>86</v>
      </c>
      <c r="D29" s="16" t="s">
        <v>11</v>
      </c>
      <c r="E29" s="17">
        <f>INDEX(Veiculos!$C$5:$C$8,MATCH($D29,Veiculos!$B$5:$B$8,0))</f>
        <v>450000</v>
      </c>
      <c r="F29" s="18">
        <v>100000</v>
      </c>
      <c r="G29" s="17">
        <f t="shared" si="0"/>
        <v>550000</v>
      </c>
      <c r="H29" s="19">
        <f>G29*Premissas!$C$4</f>
        <v>16500</v>
      </c>
      <c r="I29" s="17">
        <f>INDEX(Veiculos!$D$5:$D$8,MATCH($D29,Veiculos!$B$5:$B$8,0))</f>
        <v>25000</v>
      </c>
      <c r="J29" s="18">
        <v>25000</v>
      </c>
      <c r="K29" s="20">
        <f t="shared" si="1"/>
        <v>66500</v>
      </c>
      <c r="L29" s="19">
        <f>K29*(1+Premissas!$C$5)/(1-Premissas!$C$6-Premissas!$C$7)</f>
        <v>100989.83050847457</v>
      </c>
      <c r="M29" s="17">
        <f>L29*(1+Premissas!$C$8)</f>
        <v>131286.77966101695</v>
      </c>
      <c r="N29" s="21">
        <v>1000</v>
      </c>
      <c r="O29" s="22" t="s">
        <v>87</v>
      </c>
    </row>
    <row r="31" spans="2:15" ht="30" customHeight="1" x14ac:dyDescent="0.2">
      <c r="B31" s="2" t="s">
        <v>88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</sheetData>
  <autoFilter ref="B4:O29" xr:uid="{00000000-0001-0000-0100-000000000000}"/>
  <mergeCells count="3">
    <mergeCell ref="B2:O2"/>
    <mergeCell ref="B3:O3"/>
    <mergeCell ref="B31:O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0"/>
  <sheetViews>
    <sheetView showGridLines="0" zoomScale="125" zoomScaleNormal="100" workbookViewId="0"/>
  </sheetViews>
  <sheetFormatPr baseColWidth="10" defaultColWidth="8.6640625" defaultRowHeight="15" x14ac:dyDescent="0.2"/>
  <cols>
    <col min="1" max="1" width="3" customWidth="1"/>
    <col min="2" max="2" width="26" customWidth="1"/>
    <col min="3" max="3" width="20" customWidth="1"/>
    <col min="4" max="4" width="22" customWidth="1"/>
    <col min="5" max="5" width="44" customWidth="1"/>
  </cols>
  <sheetData>
    <row r="2" spans="2:5" ht="24" customHeight="1" x14ac:dyDescent="0.2">
      <c r="B2" s="1" t="s">
        <v>89</v>
      </c>
      <c r="C2" s="1"/>
      <c r="D2" s="1"/>
      <c r="E2" s="1"/>
    </row>
    <row r="4" spans="2:5" ht="27.75" customHeight="1" x14ac:dyDescent="0.2">
      <c r="B4" s="24" t="s">
        <v>90</v>
      </c>
      <c r="C4" s="24" t="s">
        <v>24</v>
      </c>
      <c r="D4" s="24" t="s">
        <v>91</v>
      </c>
      <c r="E4" s="24" t="s">
        <v>34</v>
      </c>
    </row>
    <row r="5" spans="2:5" x14ac:dyDescent="0.2">
      <c r="B5" s="11" t="s">
        <v>11</v>
      </c>
      <c r="C5" s="25">
        <v>450000</v>
      </c>
      <c r="D5" s="25">
        <v>25000</v>
      </c>
      <c r="E5" s="26" t="s">
        <v>92</v>
      </c>
    </row>
    <row r="6" spans="2:5" x14ac:dyDescent="0.2">
      <c r="B6" s="11" t="s">
        <v>12</v>
      </c>
      <c r="C6" s="25">
        <v>900000</v>
      </c>
      <c r="D6" s="25">
        <v>35000</v>
      </c>
      <c r="E6" s="26" t="s">
        <v>93</v>
      </c>
    </row>
    <row r="7" spans="2:5" x14ac:dyDescent="0.2">
      <c r="B7" s="11" t="s">
        <v>13</v>
      </c>
      <c r="C7" s="25">
        <v>1300000</v>
      </c>
      <c r="D7" s="25">
        <v>55000</v>
      </c>
      <c r="E7" s="26" t="s">
        <v>94</v>
      </c>
    </row>
    <row r="8" spans="2:5" x14ac:dyDescent="0.2">
      <c r="B8" s="11" t="s">
        <v>95</v>
      </c>
      <c r="C8" s="25">
        <v>1100000</v>
      </c>
      <c r="D8" s="25">
        <v>45000</v>
      </c>
      <c r="E8" s="26" t="s">
        <v>96</v>
      </c>
    </row>
    <row r="10" spans="2:5" ht="30" customHeight="1" x14ac:dyDescent="0.2">
      <c r="B10" s="2" t="s">
        <v>97</v>
      </c>
      <c r="C10" s="2"/>
      <c r="D10" s="2"/>
      <c r="E10" s="2"/>
    </row>
  </sheetData>
  <mergeCells count="2">
    <mergeCell ref="B2:E2"/>
    <mergeCell ref="B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0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52" customWidth="1"/>
    <col min="3" max="3" width="16" customWidth="1"/>
    <col min="4" max="4" width="60" customWidth="1"/>
  </cols>
  <sheetData>
    <row r="2" spans="2:4" ht="24" customHeight="1" x14ac:dyDescent="0.2">
      <c r="B2" s="1" t="s">
        <v>98</v>
      </c>
      <c r="C2" s="1"/>
      <c r="D2" s="1"/>
    </row>
    <row r="4" spans="2:4" x14ac:dyDescent="0.2">
      <c r="B4" s="11" t="s">
        <v>99</v>
      </c>
      <c r="C4" s="27">
        <v>0.03</v>
      </c>
      <c r="D4" s="28" t="s">
        <v>100</v>
      </c>
    </row>
    <row r="5" spans="2:4" x14ac:dyDescent="0.2">
      <c r="B5" s="11" t="s">
        <v>101</v>
      </c>
      <c r="C5" s="27">
        <v>0.12</v>
      </c>
      <c r="D5" s="28" t="s">
        <v>102</v>
      </c>
    </row>
    <row r="6" spans="2:4" x14ac:dyDescent="0.2">
      <c r="B6" s="11" t="s">
        <v>103</v>
      </c>
      <c r="C6" s="27">
        <v>0.14249999999999999</v>
      </c>
      <c r="D6" s="28" t="s">
        <v>104</v>
      </c>
    </row>
    <row r="7" spans="2:4" x14ac:dyDescent="0.2">
      <c r="B7" s="11" t="s">
        <v>105</v>
      </c>
      <c r="C7" s="27">
        <v>0.12</v>
      </c>
      <c r="D7" s="28" t="s">
        <v>106</v>
      </c>
    </row>
    <row r="8" spans="2:4" x14ac:dyDescent="0.2">
      <c r="B8" s="11" t="s">
        <v>107</v>
      </c>
      <c r="C8" s="27">
        <v>0.3</v>
      </c>
      <c r="D8" s="28" t="s">
        <v>108</v>
      </c>
    </row>
    <row r="10" spans="2:4" ht="30" customHeight="1" x14ac:dyDescent="0.2">
      <c r="B10" s="2" t="s">
        <v>109</v>
      </c>
      <c r="C10" s="2"/>
      <c r="D10" s="2"/>
    </row>
  </sheetData>
  <mergeCells count="2">
    <mergeCell ref="B2:D2"/>
    <mergeCell ref="B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3"/>
  <sheetViews>
    <sheetView showGridLines="0" zoomScale="132" zoomScaleNormal="100" workbookViewId="0">
      <selection activeCell="D5" sqref="D5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4" width="22" customWidth="1"/>
    <col min="5" max="5" width="50" customWidth="1"/>
  </cols>
  <sheetData>
    <row r="2" spans="2:5" ht="24" customHeight="1" x14ac:dyDescent="0.2">
      <c r="B2" s="1" t="s">
        <v>110</v>
      </c>
      <c r="C2" s="1"/>
      <c r="D2" s="1"/>
      <c r="E2" s="1"/>
    </row>
    <row r="4" spans="2:5" ht="27.75" customHeight="1" x14ac:dyDescent="0.2">
      <c r="B4" s="24" t="s">
        <v>111</v>
      </c>
      <c r="C4" s="24" t="s">
        <v>112</v>
      </c>
      <c r="D4" s="24" t="s">
        <v>113</v>
      </c>
      <c r="E4" s="24" t="s">
        <v>114</v>
      </c>
    </row>
    <row r="5" spans="2:5" ht="27" x14ac:dyDescent="0.2">
      <c r="B5" s="15" t="s">
        <v>115</v>
      </c>
      <c r="C5" s="20">
        <v>721498.82</v>
      </c>
      <c r="D5" s="32" t="s">
        <v>116</v>
      </c>
      <c r="E5" s="22" t="s">
        <v>117</v>
      </c>
    </row>
    <row r="6" spans="2:5" ht="27" x14ac:dyDescent="0.2">
      <c r="B6" s="15" t="s">
        <v>118</v>
      </c>
      <c r="C6" s="20">
        <v>650068.38</v>
      </c>
      <c r="D6" s="32" t="s">
        <v>119</v>
      </c>
      <c r="E6" s="22" t="s">
        <v>120</v>
      </c>
    </row>
    <row r="7" spans="2:5" ht="27" x14ac:dyDescent="0.2">
      <c r="B7" s="15" t="s">
        <v>121</v>
      </c>
      <c r="C7" s="20">
        <v>1906541.64</v>
      </c>
      <c r="D7" s="32" t="s">
        <v>122</v>
      </c>
      <c r="E7" s="22" t="s">
        <v>120</v>
      </c>
    </row>
    <row r="8" spans="2:5" ht="27" x14ac:dyDescent="0.2">
      <c r="B8" s="15" t="s">
        <v>123</v>
      </c>
      <c r="C8" s="20">
        <v>512466.5</v>
      </c>
      <c r="D8" s="32" t="s">
        <v>124</v>
      </c>
      <c r="E8" s="22" t="s">
        <v>125</v>
      </c>
    </row>
    <row r="9" spans="2:5" ht="27" x14ac:dyDescent="0.2">
      <c r="B9" s="15" t="s">
        <v>126</v>
      </c>
      <c r="C9" s="20">
        <v>439204.38</v>
      </c>
      <c r="D9" s="32" t="s">
        <v>124</v>
      </c>
      <c r="E9" s="22" t="s">
        <v>120</v>
      </c>
    </row>
    <row r="10" spans="2:5" ht="27" x14ac:dyDescent="0.2">
      <c r="B10" s="15" t="s">
        <v>127</v>
      </c>
      <c r="C10" s="20">
        <v>500000</v>
      </c>
      <c r="D10" s="32" t="s">
        <v>128</v>
      </c>
      <c r="E10" s="22" t="s">
        <v>129</v>
      </c>
    </row>
    <row r="11" spans="2:5" ht="27" x14ac:dyDescent="0.2">
      <c r="B11" s="15" t="s">
        <v>130</v>
      </c>
      <c r="C11" s="20">
        <v>85037.2</v>
      </c>
      <c r="D11" s="32" t="s">
        <v>131</v>
      </c>
      <c r="E11" s="22" t="s">
        <v>132</v>
      </c>
    </row>
    <row r="13" spans="2:5" ht="42" customHeight="1" x14ac:dyDescent="0.2">
      <c r="B13" s="2" t="s">
        <v>133</v>
      </c>
      <c r="C13" s="2"/>
      <c r="D13" s="2"/>
      <c r="E13" s="2"/>
    </row>
  </sheetData>
  <mergeCells count="2">
    <mergeCell ref="B2:E2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C31"/>
  <sheetViews>
    <sheetView showGridLines="0" zoomScaleNormal="100" workbookViewId="0"/>
  </sheetViews>
  <sheetFormatPr baseColWidth="10" defaultColWidth="8.6640625" defaultRowHeight="15" x14ac:dyDescent="0.2"/>
  <cols>
    <col min="2" max="2" width="4" customWidth="1"/>
    <col min="3" max="3" width="104" customWidth="1"/>
  </cols>
  <sheetData>
    <row r="2" spans="3:3" ht="24" customHeight="1" x14ac:dyDescent="0.2">
      <c r="C2" s="29" t="s">
        <v>134</v>
      </c>
    </row>
    <row r="4" spans="3:3" x14ac:dyDescent="0.2">
      <c r="C4" s="30" t="s">
        <v>135</v>
      </c>
    </row>
    <row r="5" spans="3:3" x14ac:dyDescent="0.2">
      <c r="C5" s="31" t="s">
        <v>136</v>
      </c>
    </row>
    <row r="6" spans="3:3" x14ac:dyDescent="0.2">
      <c r="C6" s="31" t="s">
        <v>137</v>
      </c>
    </row>
    <row r="7" spans="3:3" x14ac:dyDescent="0.2">
      <c r="C7" s="31" t="s">
        <v>138</v>
      </c>
    </row>
    <row r="8" spans="3:3" x14ac:dyDescent="0.2">
      <c r="C8" s="31"/>
    </row>
    <row r="9" spans="3:3" x14ac:dyDescent="0.2">
      <c r="C9" s="30" t="s">
        <v>139</v>
      </c>
    </row>
    <row r="10" spans="3:3" x14ac:dyDescent="0.2">
      <c r="C10" s="31" t="s">
        <v>140</v>
      </c>
    </row>
    <row r="11" spans="3:3" x14ac:dyDescent="0.2">
      <c r="C11" s="31" t="s">
        <v>141</v>
      </c>
    </row>
    <row r="12" spans="3:3" x14ac:dyDescent="0.2">
      <c r="C12" s="31" t="s">
        <v>142</v>
      </c>
    </row>
    <row r="13" spans="3:3" x14ac:dyDescent="0.2">
      <c r="C13" s="31" t="s">
        <v>143</v>
      </c>
    </row>
    <row r="14" spans="3:3" x14ac:dyDescent="0.2">
      <c r="C14" s="31"/>
    </row>
    <row r="15" spans="3:3" x14ac:dyDescent="0.2">
      <c r="C15" s="30" t="s">
        <v>144</v>
      </c>
    </row>
    <row r="16" spans="3:3" x14ac:dyDescent="0.2">
      <c r="C16" s="31" t="s">
        <v>145</v>
      </c>
    </row>
    <row r="17" spans="3:3" x14ac:dyDescent="0.2">
      <c r="C17" s="31" t="s">
        <v>146</v>
      </c>
    </row>
    <row r="18" spans="3:3" x14ac:dyDescent="0.2">
      <c r="C18" s="31" t="s">
        <v>147</v>
      </c>
    </row>
    <row r="19" spans="3:3" x14ac:dyDescent="0.2">
      <c r="C19" s="31" t="s">
        <v>148</v>
      </c>
    </row>
    <row r="20" spans="3:3" x14ac:dyDescent="0.2">
      <c r="C20" s="31"/>
    </row>
    <row r="21" spans="3:3" x14ac:dyDescent="0.2">
      <c r="C21" s="30" t="s">
        <v>149</v>
      </c>
    </row>
    <row r="22" spans="3:3" x14ac:dyDescent="0.2">
      <c r="C22" s="31" t="s">
        <v>150</v>
      </c>
    </row>
    <row r="23" spans="3:3" x14ac:dyDescent="0.2">
      <c r="C23" s="31" t="s">
        <v>151</v>
      </c>
    </row>
    <row r="24" spans="3:3" x14ac:dyDescent="0.2">
      <c r="C24" s="31"/>
    </row>
    <row r="25" spans="3:3" x14ac:dyDescent="0.2">
      <c r="C25" s="30" t="s">
        <v>152</v>
      </c>
    </row>
    <row r="26" spans="3:3" x14ac:dyDescent="0.2">
      <c r="C26" s="31" t="s">
        <v>153</v>
      </c>
    </row>
    <row r="27" spans="3:3" x14ac:dyDescent="0.2">
      <c r="C27" s="31" t="s">
        <v>154</v>
      </c>
    </row>
    <row r="28" spans="3:3" x14ac:dyDescent="0.2">
      <c r="C28" s="31" t="s">
        <v>155</v>
      </c>
    </row>
    <row r="29" spans="3:3" x14ac:dyDescent="0.2">
      <c r="C29" s="31" t="s">
        <v>156</v>
      </c>
    </row>
    <row r="30" spans="3:3" x14ac:dyDescent="0.2">
      <c r="C30" s="31"/>
    </row>
    <row r="31" spans="3:3" x14ac:dyDescent="0.2">
      <c r="C31" s="31" t="s">
        <v>157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Painel</vt:lpstr>
      <vt:lpstr>Catalogo</vt:lpstr>
      <vt:lpstr>Veiculos</vt:lpstr>
      <vt:lpstr>Premissas</vt:lpstr>
      <vt:lpstr>Ancoras_Mercado</vt:lpstr>
      <vt:lpstr>Notas &amp; 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gerson gomes</cp:lastModifiedBy>
  <cp:revision>0</cp:revision>
  <dcterms:created xsi:type="dcterms:W3CDTF">2026-07-15T10:37:20Z</dcterms:created>
  <dcterms:modified xsi:type="dcterms:W3CDTF">2026-07-15T21:26:55Z</dcterms:modified>
  <dc:language>en-US</dc:language>
</cp:coreProperties>
</file>